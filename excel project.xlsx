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 Analysis\Excel\"/>
    </mc:Choice>
  </mc:AlternateContent>
  <bookViews>
    <workbookView xWindow="0" yWindow="0" windowWidth="28800" windowHeight="12210"/>
  </bookViews>
  <sheets>
    <sheet name="Raw" sheetId="2" r:id="rId1"/>
    <sheet name="Lookup" sheetId="3" r:id="rId2"/>
    <sheet name="Clean" sheetId="4" r:id="rId3"/>
    <sheet name="Summary" sheetId="5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B3" i="5" l="1"/>
  <c r="B4" i="5"/>
  <c r="H3" i="4"/>
  <c r="H4" i="4"/>
  <c r="H5" i="4"/>
  <c r="H6" i="4"/>
  <c r="H7" i="4"/>
  <c r="H8" i="4"/>
  <c r="B2" i="5" s="1"/>
  <c r="H9" i="4"/>
  <c r="H10" i="4"/>
  <c r="H11" i="4"/>
  <c r="H12" i="4"/>
  <c r="H13" i="4"/>
  <c r="H2" i="4"/>
  <c r="G3" i="4"/>
  <c r="G4" i="4"/>
  <c r="G5" i="4"/>
  <c r="G6" i="4"/>
  <c r="G7" i="4"/>
  <c r="G8" i="4"/>
  <c r="G9" i="4"/>
  <c r="G10" i="4"/>
  <c r="G11" i="4"/>
  <c r="G12" i="4"/>
  <c r="G13" i="4"/>
  <c r="G2" i="4"/>
</calcChain>
</file>

<file path=xl/sharedStrings.xml><?xml version="1.0" encoding="utf-8"?>
<sst xmlns="http://schemas.openxmlformats.org/spreadsheetml/2006/main" count="122" uniqueCount="35">
  <si>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</si>
  <si>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</si>
  <si>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</si>
  <si>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</si>
  <si>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</si>
  <si>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</si>
  <si>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</si>
  <si>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</si>
  <si>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</si>
  <si>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</si>
  <si>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</si>
  <si>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</si>
  <si>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</si>
  <si>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</si>
  <si>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</si>
  <si>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</si>
  <si>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</si>
  <si>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</si>
  <si>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</si>
  <si>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</si>
  <si>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</si>
  <si>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</si>
  <si>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</si>
  <si>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</si>
  <si>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Before row count</t>
  </si>
  <si>
    <t>After row count</t>
  </si>
  <si>
    <t>Department</t>
  </si>
  <si>
    <t xml:space="preserve">breach_flag
</t>
  </si>
  <si>
    <t xml:space="preserve">Channel </t>
  </si>
  <si>
    <t xml:space="preserve">Breached Tickets
</t>
  </si>
  <si>
    <t xml:space="preserve">      </t>
  </si>
  <si>
    <t>Row Labels</t>
  </si>
  <si>
    <t>Grand Total</t>
  </si>
  <si>
    <t>Column Labels</t>
  </si>
  <si>
    <t>Average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</si>
</sst>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man Old Style"/>
      <family val="1"/>
    </font>
    <font>
      <sz val="12"/>
      <color theme="1"/>
      <name val="Calibri 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0" xfId="0" applyAlignment="1"/>
    <xf numFmtId="0" fontId="19" fillId="0" borderId="1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 </a:t>
            </a:r>
            <a:r>
              <a:rPr lang="en-US" sz="1200"/>
              <a:t>Average Resolution Hours by Department</a:t>
            </a:r>
            <a:r>
              <a:rPr lang="en-US" sz="1200" baseline="0"/>
              <a:t>  </a:t>
            </a:r>
            <a:r>
              <a:rPr lang="en-US" sz="1200"/>
              <a:t>and Month</a:t>
            </a:r>
          </a:p>
          <a:p>
            <a:pPr>
              <a:defRPr/>
            </a:pPr>
            <a:r>
              <a:rPr lang="en-US" sz="1200"/>
              <a:t/>
            </a:r>
            <a:br>
              <a:rPr lang="en-US" sz="1200"/>
            </a:br>
            <a:endParaRPr lang="en-US" sz="1200"/>
          </a:p>
        </c:rich>
      </c:tx>
      <c:layout>
        <c:manualLayout>
          <c:xMode val="edge"/>
          <c:yMode val="edge"/>
          <c:x val="9.7840505785833351E-2"/>
          <c:y val="9.56948190366530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Summary!$E$2:$E$3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Summary!$D$4:$D$6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Summary!$E$4:$E$6</c:f>
              <c:numCache>
                <c:formatCode>General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D-469A-BF03-394A28C0CD59}"/>
            </c:ext>
          </c:extLst>
        </c:ser>
        <c:ser>
          <c:idx val="1"/>
          <c:order val="1"/>
          <c:tx>
            <c:strRef>
              <c:f>Summary!$F$2:$F$3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Summary!$D$4:$D$6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Summary!$F$4:$F$6</c:f>
              <c:numCache>
                <c:formatCode>General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D-469A-BF03-394A28C0CD59}"/>
            </c:ext>
          </c:extLst>
        </c:ser>
        <c:ser>
          <c:idx val="2"/>
          <c:order val="2"/>
          <c:tx>
            <c:strRef>
              <c:f>Summary!$G$2:$G$3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Summary!$D$4:$D$6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Summary!$G$4:$G$6</c:f>
              <c:numCache>
                <c:formatCode>General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D-469A-BF03-394A28C0CD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96749120"/>
        <c:axId val="1396747456"/>
      </c:barChart>
      <c:catAx>
        <c:axId val="139674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47456"/>
        <c:crosses val="autoZero"/>
        <c:auto val="1"/>
        <c:lblAlgn val="ctr"/>
        <c:lblOffset val="100"/>
        <c:noMultiLvlLbl val="0"/>
      </c:catAx>
      <c:valAx>
        <c:axId val="1396747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7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323851</xdr:colOff>
      <xdr:row>8</xdr:row>
      <xdr:rowOff>190499</xdr:rowOff>
    </xdr:from>
    <xdr:to>
      <xdr:col>10</xdr:col>
      <xdr:colOff>266701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98.548557407405" createdVersion="6" refreshedVersion="6" minRefreshableVersion="3" recordCount="12">
  <cacheSource type="worksheet">
    <worksheetSource ref="A1:H13" sheet="Clean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_x000a_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D2:H6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4" subtotal="average" baseField="6" baseItem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I14" sqref="I14"/>
    </sheetView>
  </sheetViews>
  <sheetFormatPr defaultRowHeight="15"/>
  <cols>
    <col min="1" max="1" width="9.5703125" customWidth="1"/>
    <col min="5" max="5" width="16.28515625" bestFit="1" customWidth="1"/>
    <col min="6" max="6" width="11.1406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>
        <v>12</v>
      </c>
      <c r="F2" s="1">
        <v>4</v>
      </c>
    </row>
    <row r="3" spans="1:6">
      <c r="A3" s="1">
        <v>2</v>
      </c>
      <c r="B3" s="1" t="s">
        <v>6</v>
      </c>
      <c r="C3" s="1" t="s">
        <v>9</v>
      </c>
      <c r="D3" s="1" t="s">
        <v>10</v>
      </c>
      <c r="E3" s="1">
        <v>28</v>
      </c>
      <c r="F3" s="1">
        <v>3</v>
      </c>
    </row>
    <row r="4" spans="1:6">
      <c r="A4" s="1">
        <v>3</v>
      </c>
      <c r="B4" s="1" t="s">
        <v>6</v>
      </c>
      <c r="C4" s="1" t="s">
        <v>11</v>
      </c>
      <c r="D4" s="1" t="s">
        <v>12</v>
      </c>
      <c r="E4" s="1">
        <v>36</v>
      </c>
      <c r="F4" s="1">
        <v>2</v>
      </c>
    </row>
    <row r="5" spans="1:6">
      <c r="A5" s="1">
        <v>4</v>
      </c>
      <c r="B5" s="1" t="s">
        <v>6</v>
      </c>
      <c r="C5" s="1" t="s">
        <v>13</v>
      </c>
      <c r="D5" s="1" t="s">
        <v>8</v>
      </c>
      <c r="E5" s="1">
        <v>20</v>
      </c>
      <c r="F5" s="1">
        <v>4</v>
      </c>
    </row>
    <row r="6" spans="1:6">
      <c r="A6" s="1">
        <v>5</v>
      </c>
      <c r="B6" s="1" t="s">
        <v>14</v>
      </c>
      <c r="C6" s="1" t="s">
        <v>7</v>
      </c>
      <c r="D6" s="1" t="s">
        <v>10</v>
      </c>
      <c r="E6" s="1">
        <v>8</v>
      </c>
      <c r="F6" s="1">
        <v>5</v>
      </c>
    </row>
    <row r="7" spans="1:6">
      <c r="A7" s="1">
        <v>6</v>
      </c>
      <c r="B7" s="1" t="s">
        <v>14</v>
      </c>
      <c r="C7" s="1" t="s">
        <v>9</v>
      </c>
      <c r="D7" s="1" t="s">
        <v>12</v>
      </c>
      <c r="E7" s="1">
        <v>30</v>
      </c>
      <c r="F7" s="1">
        <v>3</v>
      </c>
    </row>
    <row r="8" spans="1:6">
      <c r="A8" s="1">
        <v>7</v>
      </c>
      <c r="B8" s="1" t="s">
        <v>14</v>
      </c>
      <c r="C8" s="1" t="s">
        <v>11</v>
      </c>
      <c r="D8" s="1" t="s">
        <v>8</v>
      </c>
      <c r="E8" s="1">
        <v>18</v>
      </c>
      <c r="F8" s="1">
        <v>4</v>
      </c>
    </row>
    <row r="9" spans="1:6">
      <c r="A9" s="1">
        <v>8</v>
      </c>
      <c r="B9" s="1" t="s">
        <v>14</v>
      </c>
      <c r="C9" s="1" t="s">
        <v>13</v>
      </c>
      <c r="D9" s="1" t="s">
        <v>10</v>
      </c>
      <c r="E9" s="1">
        <v>40</v>
      </c>
      <c r="F9" s="1">
        <v>2</v>
      </c>
    </row>
    <row r="10" spans="1:6">
      <c r="A10" s="1">
        <v>9</v>
      </c>
      <c r="B10" s="1" t="s">
        <v>15</v>
      </c>
      <c r="C10" s="1" t="s">
        <v>7</v>
      </c>
      <c r="D10" s="1" t="s">
        <v>12</v>
      </c>
      <c r="E10" s="1">
        <v>16</v>
      </c>
      <c r="F10" s="1">
        <v>4</v>
      </c>
    </row>
    <row r="11" spans="1:6">
      <c r="A11" s="1">
        <v>10</v>
      </c>
      <c r="B11" s="1" t="s">
        <v>15</v>
      </c>
      <c r="C11" s="1" t="s">
        <v>9</v>
      </c>
      <c r="D11" s="1" t="s">
        <v>8</v>
      </c>
      <c r="E11" s="1">
        <v>22</v>
      </c>
      <c r="F11" s="1">
        <v>4</v>
      </c>
    </row>
    <row r="12" spans="1:6">
      <c r="A12" s="1">
        <v>11</v>
      </c>
      <c r="B12" s="1" t="s">
        <v>15</v>
      </c>
      <c r="C12" s="1" t="s">
        <v>11</v>
      </c>
      <c r="D12" s="1" t="s">
        <v>10</v>
      </c>
      <c r="E12" s="1">
        <v>32</v>
      </c>
      <c r="F12" s="1">
        <v>3</v>
      </c>
    </row>
    <row r="13" spans="1:6">
      <c r="A13" s="1">
        <v>12</v>
      </c>
      <c r="B13" s="1" t="s">
        <v>15</v>
      </c>
      <c r="C13" s="1" t="s">
        <v>13</v>
      </c>
      <c r="D13" s="1" t="s">
        <v>12</v>
      </c>
      <c r="E13" s="1">
        <v>24</v>
      </c>
      <c r="F13" s="1">
        <v>5</v>
      </c>
    </row>
    <row r="14" spans="1:6">
      <c r="A14" s="1">
        <v>12</v>
      </c>
      <c r="B14" s="1" t="s">
        <v>15</v>
      </c>
      <c r="C14" s="1" t="s">
        <v>13</v>
      </c>
      <c r="D14" s="1" t="s">
        <v>12</v>
      </c>
      <c r="E14" s="1">
        <v>24</v>
      </c>
      <c r="F1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28" sqref="B28"/>
    </sheetView>
  </sheetViews>
  <sheetFormatPr defaultRowHeight="15"/>
  <cols>
    <col min="1" max="1" width="8.85546875" customWidth="1"/>
    <col min="2" max="2" width="13.42578125" customWidth="1"/>
    <col min="3" max="3" width="12.85546875" customWidth="1"/>
  </cols>
  <sheetData>
    <row r="1" spans="1:3">
      <c r="A1" s="3" t="s">
        <v>2</v>
      </c>
      <c r="B1" s="3" t="s">
        <v>16</v>
      </c>
      <c r="C1" s="3" t="s">
        <v>17</v>
      </c>
    </row>
    <row r="2" spans="1:3">
      <c r="A2" s="1" t="s">
        <v>7</v>
      </c>
      <c r="B2" s="1" t="s">
        <v>18</v>
      </c>
      <c r="C2" s="1" t="s">
        <v>19</v>
      </c>
    </row>
    <row r="3" spans="1:3">
      <c r="A3" s="1" t="s">
        <v>9</v>
      </c>
      <c r="B3" s="1" t="s">
        <v>20</v>
      </c>
      <c r="C3" s="1" t="s">
        <v>19</v>
      </c>
    </row>
    <row r="4" spans="1:3">
      <c r="A4" s="1" t="s">
        <v>11</v>
      </c>
      <c r="B4" s="1" t="s">
        <v>21</v>
      </c>
      <c r="C4" s="1" t="s">
        <v>22</v>
      </c>
    </row>
    <row r="5" spans="1: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sqref="A1:H13"/>
    </sheetView>
  </sheetViews>
  <sheetFormatPr defaultRowHeight="15"/>
  <cols>
    <col min="4" max="4" width="8" bestFit="1" customWidth="1"/>
    <col min="5" max="5" width="16.28515625" bestFit="1" customWidth="1"/>
    <col min="6" max="6" width="12.85546875" customWidth="1"/>
    <col min="7" max="7" width="11.7109375" bestFit="1" customWidth="1"/>
    <col min="8" max="8" width="13" customWidth="1"/>
    <col min="12" max="12" width="20.7109375" bestFit="1" customWidth="1"/>
    <col min="13" max="13" width="7.710937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26</v>
      </c>
      <c r="H1" s="4" t="s">
        <v>27</v>
      </c>
    </row>
    <row r="2" spans="1:13" ht="15.75">
      <c r="A2" s="6">
        <v>1</v>
      </c>
      <c r="B2" s="6" t="s">
        <v>6</v>
      </c>
      <c r="C2" s="6" t="s">
        <v>7</v>
      </c>
      <c r="D2" s="6" t="s">
        <v>8</v>
      </c>
      <c r="E2" s="6">
        <v>12</v>
      </c>
      <c r="F2" s="6">
        <v>4</v>
      </c>
      <c r="G2" s="5" t="str">
        <f>INDEX(Lookup!$C$2:$C$5,MATCH(C2,Lookup!$A$2:$A$5,0))</f>
        <v>Service</v>
      </c>
      <c r="H2" s="8">
        <f>IF(E2&gt;24,1,0)</f>
        <v>0</v>
      </c>
      <c r="L2" s="2" t="s">
        <v>24</v>
      </c>
      <c r="M2">
        <v>13</v>
      </c>
    </row>
    <row r="3" spans="1:13">
      <c r="A3" s="6">
        <v>2</v>
      </c>
      <c r="B3" s="6" t="s">
        <v>6</v>
      </c>
      <c r="C3" s="6" t="s">
        <v>9</v>
      </c>
      <c r="D3" s="6" t="s">
        <v>10</v>
      </c>
      <c r="E3" s="6">
        <v>28</v>
      </c>
      <c r="F3" s="6">
        <v>3</v>
      </c>
      <c r="G3" s="5" t="str">
        <f>INDEX(Lookup!$C$2:$C$5,MATCH(C3,Lookup!$A$2:$A$5,0))</f>
        <v>Service</v>
      </c>
      <c r="H3" s="8">
        <f t="shared" ref="H3:H13" si="0">IF(E3&gt;24,1,0)</f>
        <v>1</v>
      </c>
      <c r="L3" t="s">
        <v>25</v>
      </c>
      <c r="M3">
        <v>12</v>
      </c>
    </row>
    <row r="4" spans="1:13">
      <c r="A4" s="6">
        <v>3</v>
      </c>
      <c r="B4" s="6" t="s">
        <v>6</v>
      </c>
      <c r="C4" s="6" t="s">
        <v>11</v>
      </c>
      <c r="D4" s="6" t="s">
        <v>12</v>
      </c>
      <c r="E4" s="6">
        <v>36</v>
      </c>
      <c r="F4" s="6">
        <v>2</v>
      </c>
      <c r="G4" s="5" t="str">
        <f>INDEX(Lookup!$C$2:$C$5,MATCH(C4,Lookup!$A$2:$A$5,0))</f>
        <v>Technical</v>
      </c>
      <c r="H4" s="8">
        <f t="shared" si="0"/>
        <v>1</v>
      </c>
    </row>
    <row r="5" spans="1:13">
      <c r="A5" s="6">
        <v>4</v>
      </c>
      <c r="B5" s="6" t="s">
        <v>6</v>
      </c>
      <c r="C5" s="6" t="s">
        <v>13</v>
      </c>
      <c r="D5" s="6" t="s">
        <v>8</v>
      </c>
      <c r="E5" s="6">
        <v>20</v>
      </c>
      <c r="F5" s="6">
        <v>4</v>
      </c>
      <c r="G5" s="5" t="str">
        <f>INDEX(Lookup!$C$2:$C$5,MATCH(C5,Lookup!$A$2:$A$5,0))</f>
        <v>Technical</v>
      </c>
      <c r="H5" s="8">
        <f t="shared" si="0"/>
        <v>0</v>
      </c>
    </row>
    <row r="6" spans="1:13">
      <c r="A6" s="6">
        <v>5</v>
      </c>
      <c r="B6" s="6" t="s">
        <v>14</v>
      </c>
      <c r="C6" s="6" t="s">
        <v>7</v>
      </c>
      <c r="D6" s="6" t="s">
        <v>10</v>
      </c>
      <c r="E6" s="6">
        <v>8</v>
      </c>
      <c r="F6" s="6">
        <v>5</v>
      </c>
      <c r="G6" s="5" t="str">
        <f>INDEX(Lookup!$C$2:$C$5,MATCH(C6,Lookup!$A$2:$A$5,0))</f>
        <v>Service</v>
      </c>
      <c r="H6" s="8">
        <f t="shared" si="0"/>
        <v>0</v>
      </c>
    </row>
    <row r="7" spans="1:13">
      <c r="A7" s="6">
        <v>6</v>
      </c>
      <c r="B7" s="6" t="s">
        <v>14</v>
      </c>
      <c r="C7" s="6" t="s">
        <v>9</v>
      </c>
      <c r="D7" s="6" t="s">
        <v>12</v>
      </c>
      <c r="E7" s="6">
        <v>30</v>
      </c>
      <c r="F7" s="6">
        <v>3</v>
      </c>
      <c r="G7" s="5" t="str">
        <f>INDEX(Lookup!$C$2:$C$5,MATCH(C7,Lookup!$A$2:$A$5,0))</f>
        <v>Service</v>
      </c>
      <c r="H7" s="8">
        <f t="shared" si="0"/>
        <v>1</v>
      </c>
    </row>
    <row r="8" spans="1:13">
      <c r="A8" s="6">
        <v>7</v>
      </c>
      <c r="B8" s="6" t="s">
        <v>14</v>
      </c>
      <c r="C8" s="6" t="s">
        <v>11</v>
      </c>
      <c r="D8" s="6" t="s">
        <v>8</v>
      </c>
      <c r="E8" s="6">
        <v>18</v>
      </c>
      <c r="F8" s="6">
        <v>4</v>
      </c>
      <c r="G8" s="5" t="str">
        <f>INDEX(Lookup!$C$2:$C$5,MATCH(C8,Lookup!$A$2:$A$5,0))</f>
        <v>Technical</v>
      </c>
      <c r="H8" s="8">
        <f t="shared" si="0"/>
        <v>0</v>
      </c>
    </row>
    <row r="9" spans="1:13">
      <c r="A9" s="6">
        <v>8</v>
      </c>
      <c r="B9" s="6" t="s">
        <v>14</v>
      </c>
      <c r="C9" s="6" t="s">
        <v>13</v>
      </c>
      <c r="D9" s="6" t="s">
        <v>10</v>
      </c>
      <c r="E9" s="6">
        <v>40</v>
      </c>
      <c r="F9" s="6">
        <v>2</v>
      </c>
      <c r="G9" s="5" t="str">
        <f>INDEX(Lookup!$C$2:$C$5,MATCH(C9,Lookup!$A$2:$A$5,0))</f>
        <v>Technical</v>
      </c>
      <c r="H9" s="8">
        <f t="shared" si="0"/>
        <v>1</v>
      </c>
    </row>
    <row r="10" spans="1:13">
      <c r="A10" s="6">
        <v>9</v>
      </c>
      <c r="B10" s="6" t="s">
        <v>15</v>
      </c>
      <c r="C10" s="6" t="s">
        <v>7</v>
      </c>
      <c r="D10" s="6" t="s">
        <v>12</v>
      </c>
      <c r="E10" s="6">
        <v>16</v>
      </c>
      <c r="F10" s="6">
        <v>4</v>
      </c>
      <c r="G10" s="5" t="str">
        <f>INDEX(Lookup!$C$2:$C$5,MATCH(C10,Lookup!$A$2:$A$5,0))</f>
        <v>Service</v>
      </c>
      <c r="H10" s="8">
        <f t="shared" si="0"/>
        <v>0</v>
      </c>
    </row>
    <row r="11" spans="1:13">
      <c r="A11" s="6">
        <v>10</v>
      </c>
      <c r="B11" s="6" t="s">
        <v>15</v>
      </c>
      <c r="C11" s="6" t="s">
        <v>9</v>
      </c>
      <c r="D11" s="6" t="s">
        <v>8</v>
      </c>
      <c r="E11" s="6">
        <v>22</v>
      </c>
      <c r="F11" s="6">
        <v>4</v>
      </c>
      <c r="G11" s="5" t="str">
        <f>INDEX(Lookup!$C$2:$C$5,MATCH(C11,Lookup!$A$2:$A$5,0))</f>
        <v>Service</v>
      </c>
      <c r="H11" s="8">
        <f t="shared" si="0"/>
        <v>0</v>
      </c>
    </row>
    <row r="12" spans="1:13">
      <c r="A12" s="6">
        <v>11</v>
      </c>
      <c r="B12" s="6" t="s">
        <v>15</v>
      </c>
      <c r="C12" s="6" t="s">
        <v>11</v>
      </c>
      <c r="D12" s="6" t="s">
        <v>10</v>
      </c>
      <c r="E12" s="6">
        <v>32</v>
      </c>
      <c r="F12" s="6">
        <v>3</v>
      </c>
      <c r="G12" s="5" t="str">
        <f>INDEX(Lookup!$C$2:$C$5,MATCH(C12,Lookup!$A$2:$A$5,0))</f>
        <v>Technical</v>
      </c>
      <c r="H12" s="8">
        <f t="shared" si="0"/>
        <v>1</v>
      </c>
    </row>
    <row r="13" spans="1:13">
      <c r="A13" s="6">
        <v>12</v>
      </c>
      <c r="B13" s="6" t="s">
        <v>15</v>
      </c>
      <c r="C13" s="6" t="s">
        <v>13</v>
      </c>
      <c r="D13" s="6" t="s">
        <v>12</v>
      </c>
      <c r="E13" s="6">
        <v>24</v>
      </c>
      <c r="F13" s="6">
        <v>5</v>
      </c>
      <c r="G13" s="5" t="str">
        <f>INDEX(Lookup!$C$2:$C$5,MATCH(C13,Lookup!$A$2:$A$5,0))</f>
        <v>Technical</v>
      </c>
      <c r="H13" s="8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E27" sqref="E27"/>
    </sheetView>
  </sheetViews>
  <sheetFormatPr defaultRowHeight="15"/>
  <cols>
    <col min="1" max="1" width="8.7109375" bestFit="1" customWidth="1"/>
    <col min="2" max="2" width="18.42578125" bestFit="1" customWidth="1"/>
    <col min="4" max="4" width="26.7109375" bestFit="1" customWidth="1"/>
    <col min="5" max="5" width="16.28515625" bestFit="1" customWidth="1"/>
    <col min="6" max="6" width="4.28515625" customWidth="1"/>
    <col min="7" max="7" width="5" customWidth="1"/>
    <col min="8" max="8" width="12" bestFit="1" customWidth="1"/>
  </cols>
  <sheetData>
    <row r="1" spans="1:8">
      <c r="A1" s="7" t="s">
        <v>28</v>
      </c>
      <c r="B1" s="7" t="s">
        <v>29</v>
      </c>
    </row>
    <row r="2" spans="1:8">
      <c r="A2" t="s">
        <v>8</v>
      </c>
      <c r="B2">
        <f>COUNTIFS(Clean!$D$2:$D$13,A2,Clean!$H$2:$H$13,1)</f>
        <v>0</v>
      </c>
      <c r="D2" s="9" t="s">
        <v>34</v>
      </c>
      <c r="E2" s="9" t="s">
        <v>33</v>
      </c>
    </row>
    <row r="3" spans="1:8">
      <c r="A3" t="s">
        <v>10</v>
      </c>
      <c r="B3">
        <f>COUNTIFS(Clean!$D$2:$D$13,A3,Clean!$H$2:$H$13,1)</f>
        <v>3</v>
      </c>
      <c r="D3" s="9" t="s">
        <v>31</v>
      </c>
      <c r="E3" t="s">
        <v>6</v>
      </c>
      <c r="F3" t="s">
        <v>14</v>
      </c>
      <c r="G3" t="s">
        <v>15</v>
      </c>
      <c r="H3" t="s">
        <v>32</v>
      </c>
    </row>
    <row r="4" spans="1:8">
      <c r="A4" t="s">
        <v>12</v>
      </c>
      <c r="B4">
        <f>COUNTIFS(Clean!$D$2:$D$13,A4,Clean!$H$2:$H$13,1)</f>
        <v>2</v>
      </c>
      <c r="D4" s="10" t="s">
        <v>19</v>
      </c>
      <c r="E4" s="11">
        <v>20</v>
      </c>
      <c r="F4" s="11">
        <v>19</v>
      </c>
      <c r="G4" s="11">
        <v>19</v>
      </c>
      <c r="H4" s="11">
        <v>19.333333333333332</v>
      </c>
    </row>
    <row r="5" spans="1:8">
      <c r="D5" s="10" t="s">
        <v>22</v>
      </c>
      <c r="E5" s="11">
        <v>28</v>
      </c>
      <c r="F5" s="11">
        <v>29</v>
      </c>
      <c r="G5" s="11">
        <v>28</v>
      </c>
      <c r="H5" s="11">
        <v>28.333333333333332</v>
      </c>
    </row>
    <row r="6" spans="1:8">
      <c r="D6" s="10" t="s">
        <v>32</v>
      </c>
      <c r="E6" s="11">
        <v>24</v>
      </c>
      <c r="F6" s="11">
        <v>24</v>
      </c>
      <c r="G6" s="11">
        <v>23.5</v>
      </c>
      <c r="H6" s="11">
        <v>23.833333333333332</v>
      </c>
    </row>
    <row r="20" spans="10:10">
      <c r="J20" t="s">
        <v>30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2026-10-03T07:57:33Z</dcterms:created>
  <dcterms:modified xsi:type="dcterms:W3CDTF">2026-10-03T08:31:04Z</dcterms:modified>
</cp:coreProperties>
</file>